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" l="1"/>
  <c r="V3" i="1"/>
  <c r="U2" i="1"/>
  <c r="V2" i="1"/>
  <c r="B3" i="1"/>
  <c r="W2" i="1"/>
  <c r="W4" i="1"/>
  <c r="G3" i="1"/>
  <c r="C3" i="1"/>
  <c r="W3" i="1"/>
  <c r="C4" i="1"/>
  <c r="G4" i="1" l="1"/>
  <c r="T3" i="1" l="1"/>
  <c r="U4" i="1"/>
  <c r="U3" i="1"/>
  <c r="T4" i="1"/>
  <c r="D4" i="1"/>
  <c r="E4" i="1"/>
  <c r="F4" i="1"/>
  <c r="B4" i="1"/>
  <c r="D3" i="1"/>
  <c r="E3" i="1"/>
  <c r="F3" i="1"/>
  <c r="V4" i="1" l="1"/>
</calcChain>
</file>

<file path=xl/sharedStrings.xml><?xml version="1.0" encoding="utf-8"?>
<sst xmlns="http://schemas.openxmlformats.org/spreadsheetml/2006/main" count="23" uniqueCount="23">
  <si>
    <t>Cx</t>
  </si>
  <si>
    <t>CY</t>
  </si>
  <si>
    <t>CZ</t>
  </si>
  <si>
    <t>CMx</t>
    <phoneticPr fontId="2" type="noConversion"/>
  </si>
  <si>
    <t>CMY</t>
    <phoneticPr fontId="2" type="noConversion"/>
  </si>
  <si>
    <t>CMZ</t>
    <phoneticPr fontId="2" type="noConversion"/>
  </si>
  <si>
    <t>Cxpressure</t>
    <phoneticPr fontId="2" type="noConversion"/>
  </si>
  <si>
    <t>CYpressure</t>
    <phoneticPr fontId="2" type="noConversion"/>
  </si>
  <si>
    <t>CZpressure</t>
    <phoneticPr fontId="2" type="noConversion"/>
  </si>
  <si>
    <t>CMXpressure</t>
    <phoneticPr fontId="2" type="noConversion"/>
  </si>
  <si>
    <t>CMYpressure</t>
    <phoneticPr fontId="2" type="noConversion"/>
  </si>
  <si>
    <t>CMZpressure</t>
  </si>
  <si>
    <t>CXviscous</t>
  </si>
  <si>
    <t>CYviscous</t>
  </si>
  <si>
    <t>CZviscous</t>
  </si>
  <si>
    <t>CMXviscous</t>
  </si>
  <si>
    <t>CMYviscous</t>
  </si>
  <si>
    <t>CMZviscous</t>
  </si>
  <si>
    <t>MACH</t>
    <phoneticPr fontId="1" type="noConversion"/>
  </si>
  <si>
    <t>CL</t>
    <phoneticPr fontId="1" type="noConversion"/>
  </si>
  <si>
    <t>CD</t>
    <phoneticPr fontId="1" type="noConversion"/>
  </si>
  <si>
    <t>K</t>
    <phoneticPr fontId="1" type="noConversion"/>
  </si>
  <si>
    <t>Xcp/C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</si>
</sst>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7" formatCode="_ * #,##0.0000_ ;_ * \-#,##0.0000_ ;_ * &quot;-&quot;??_ ;_ @_ "/>
    <numFmt numFmtId="179" formatCode="_ * #,##0.00000_ ;_ * \-#,##0.00000_ ;_ * &quot;-&quot;??_ ;_ @_ "/>
    <numFmt numFmtId="180" formatCode="_ * #,##0.000000_ ;_ * \-#,##0.000000_ ;_ * &quot;-&quot;??_ ;_ @_ "/>
    <numFmt numFmtId="181" formatCode="_ * #,##0.0000000_ ;_ * \-#,##0.0000000_ ;_ * &quot;-&quot;??_ ;_ @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177" fontId="0" fillId="0" borderId="0" xfId="1" applyNumberFormat="1" applyFont="1" applyAlignment="1"/>
    <xf numFmtId="181" fontId="0" fillId="0" borderId="0" xfId="1" applyNumberFormat="1" applyFont="1" applyAlignment="1"/>
    <xf numFmtId="21" fontId="0" fillId="0" borderId="0" xfId="0" applyNumberFormat="1"/>
    <xf numFmtId="0" fontId="0" fillId="2" borderId="0" xfId="0" applyFill="1" applyAlignment="1">
      <alignment vertical="center"/>
    </xf>
    <xf numFmtId="177" fontId="0" fillId="2" borderId="0" xfId="1" applyNumberFormat="1" applyFont="1" applyFill="1" applyAlignment="1">
      <alignment vertical="center"/>
    </xf>
    <xf numFmtId="179" fontId="0" fillId="2" borderId="0" xfId="1" applyNumberFormat="1" applyFont="1" applyFill="1" applyAlignment="1"/>
    <xf numFmtId="177" fontId="0" fillId="2" borderId="0" xfId="1" applyNumberFormat="1" applyFont="1" applyFill="1" applyAlignment="1"/>
    <xf numFmtId="180" fontId="0" fillId="2" borderId="0" xfId="1" applyNumberFormat="1" applyFont="1" applyFill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tabSelected="1" workbookViewId="0">
      <selection activeCell="C9" sqref="B9:C9"/>
    </sheetView>
  </sheetViews>
  <sheetFormatPr defaultRowHeight="14.25" x14ac:dyDescent="0.2"/>
  <cols>
    <col min="1" max="1" width="9" style="3"/>
    <col min="2" max="3" width="8.875" bestFit="1" customWidth="1"/>
    <col min="4" max="5" width="9.875" bestFit="1" customWidth="1"/>
    <col min="7" max="7" width="8.875" bestFit="1" customWidth="1"/>
    <col min="8" max="9" width="11" bestFit="1" customWidth="1"/>
    <col min="10" max="11" width="12.125" bestFit="1" customWidth="1"/>
    <col min="12" max="12" width="11" bestFit="1" customWidth="1"/>
    <col min="13" max="13" width="10.75" customWidth="1"/>
    <col min="14" max="14" width="11" bestFit="1" customWidth="1"/>
    <col min="15" max="15" width="12.125" bestFit="1" customWidth="1"/>
    <col min="16" max="18" width="11" bestFit="1" customWidth="1"/>
    <col min="19" max="19" width="12.125" bestFit="1" customWidth="1"/>
    <col min="20" max="20" width="9.875" bestFit="1" customWidth="1"/>
    <col min="22" max="22" width="9.125" style="5" bestFit="1" customWidth="1"/>
    <col min="23" max="23" width="9.875" bestFit="1" customWidth="1"/>
  </cols>
  <sheetData>
    <row r="1" spans="1:23" s="1" customFormat="1" x14ac:dyDescent="0.2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8" t="s">
        <v>19</v>
      </c>
      <c r="U1" s="8" t="s">
        <v>20</v>
      </c>
      <c r="V1" s="9" t="s">
        <v>21</v>
      </c>
      <c r="W1" s="8" t="s">
        <v>22</v>
      </c>
    </row>
    <row r="2" spans="1:23" s="1" customFormat="1" x14ac:dyDescent="0.2">
      <c r="A2" s="2">
        <v>0.4</v>
      </c>
      <c r="B2" s="1">
        <v>5.1660999999999999E-2</v>
      </c>
      <c r="C2" s="1">
        <v>0.38250400000000001</v>
      </c>
      <c r="D2" s="1">
        <v>-1.5751999999999999E-2</v>
      </c>
      <c r="E2" s="1">
        <v>-8.16992E-2</v>
      </c>
      <c r="F2" s="1">
        <v>1.46701E-2</v>
      </c>
      <c r="G2" s="1">
        <v>0.25456000000000001</v>
      </c>
      <c r="T2" s="10">
        <f>-B2*SIN(PI()/180*4)+C2*COS(PI()/180*4)</f>
        <v>0.37796855029048859</v>
      </c>
      <c r="U2" s="10">
        <f>B2*COS(PI()/180*4)+C2*SIN(PI()/180*4)</f>
        <v>7.8217286633495683E-2</v>
      </c>
      <c r="V2" s="11">
        <f>T2/U2</f>
        <v>4.8322892107155733</v>
      </c>
      <c r="W2" s="12">
        <f>G2/C2</f>
        <v>0.66550938029406226</v>
      </c>
    </row>
    <row r="3" spans="1:23" x14ac:dyDescent="0.2">
      <c r="A3" s="3">
        <v>6</v>
      </c>
      <c r="B3" s="5">
        <f>H3+N3</f>
        <v>2.2755549E-2</v>
      </c>
      <c r="C3" s="5">
        <f>I3+O3</f>
        <v>0.12603501549999999</v>
      </c>
      <c r="D3" s="5">
        <f t="shared" ref="C3:F4" si="0">J3+P3</f>
        <v>-3.0763214600000002E-2</v>
      </c>
      <c r="E3" s="5">
        <f t="shared" si="0"/>
        <v>-2.0554672400000001E-2</v>
      </c>
      <c r="F3" s="5">
        <f t="shared" si="0"/>
        <v>2.50877363E-2</v>
      </c>
      <c r="G3" s="5">
        <f>M3+S3</f>
        <v>8.8647303799999994E-2</v>
      </c>
      <c r="H3" s="6">
        <v>1.92582E-2</v>
      </c>
      <c r="I3" s="6">
        <v>0.1262508</v>
      </c>
      <c r="J3" s="6">
        <v>-3.1072160000000001E-2</v>
      </c>
      <c r="K3" s="6">
        <v>-2.0577930000000001E-2</v>
      </c>
      <c r="L3" s="6">
        <v>2.4663569999999999E-2</v>
      </c>
      <c r="M3" s="6">
        <v>8.869349E-2</v>
      </c>
      <c r="N3" s="6">
        <v>3.4973489999999999E-3</v>
      </c>
      <c r="O3" s="6">
        <v>-2.1578449999999999E-4</v>
      </c>
      <c r="P3" s="6">
        <v>3.089454E-4</v>
      </c>
      <c r="Q3" s="6">
        <v>2.3257599999999999E-5</v>
      </c>
      <c r="R3" s="6">
        <v>4.2416630000000001E-4</v>
      </c>
      <c r="S3" s="6">
        <v>-4.6186200000000002E-5</v>
      </c>
      <c r="T3" s="10">
        <f>-B3*SIN(PI()/180*4)+C3*COS(PI()/180*4)</f>
        <v>0.12414065368038806</v>
      </c>
      <c r="U3" s="10">
        <f>B3*COS(PI()/180*4)+C3*SIN(PI()/180*4)</f>
        <v>3.149187587589207E-2</v>
      </c>
      <c r="V3" s="11">
        <f>T3/U3</f>
        <v>3.9419898061843077</v>
      </c>
      <c r="W3" s="12">
        <f>G3/C3</f>
        <v>0.70335456736624125</v>
      </c>
    </row>
    <row r="4" spans="1:23" x14ac:dyDescent="0.2">
      <c r="A4" s="3">
        <v>10</v>
      </c>
      <c r="B4" s="5">
        <f>H4+N4</f>
        <v>1.8362866999999998E-2</v>
      </c>
      <c r="C4" s="5">
        <f>I4+O4</f>
        <v>0.1004381644</v>
      </c>
      <c r="D4" s="5">
        <f t="shared" si="0"/>
        <v>-2.7768803099999999E-2</v>
      </c>
      <c r="E4" s="5">
        <f t="shared" si="0"/>
        <v>-1.5287993583999999E-2</v>
      </c>
      <c r="F4" s="5">
        <f t="shared" si="0"/>
        <v>2.2242004900000001E-2</v>
      </c>
      <c r="G4" s="5">
        <f>M4+S4</f>
        <v>7.063443992E-2</v>
      </c>
      <c r="H4" s="6">
        <v>1.439352E-2</v>
      </c>
      <c r="I4" s="6">
        <v>0.1005833</v>
      </c>
      <c r="J4" s="6">
        <v>-2.8000549999999999E-2</v>
      </c>
      <c r="K4" s="6">
        <v>-1.529407E-2</v>
      </c>
      <c r="L4" s="6">
        <v>2.1667490000000001E-2</v>
      </c>
      <c r="M4" s="6">
        <v>7.0597309999999996E-2</v>
      </c>
      <c r="N4" s="6">
        <v>3.9693469999999998E-3</v>
      </c>
      <c r="O4" s="6">
        <v>-1.451356E-4</v>
      </c>
      <c r="P4" s="6">
        <v>2.317469E-4</v>
      </c>
      <c r="Q4" s="6">
        <v>6.0764160000000004E-6</v>
      </c>
      <c r="R4" s="6">
        <v>5.7451490000000002E-4</v>
      </c>
      <c r="S4" s="6">
        <v>3.712992E-5</v>
      </c>
      <c r="T4" s="10">
        <f>-B4*SIN(PI()/180*4)+C4*COS(PI()/180*4)</f>
        <v>9.8912573229773718E-2</v>
      </c>
      <c r="U4" s="10">
        <f>B4*COS(PI()/180*4)+C4*SIN(PI()/180*4)</f>
        <v>2.5324348156779204E-2</v>
      </c>
      <c r="V4" s="11">
        <f>T4/U4</f>
        <v>3.9058289918232427</v>
      </c>
      <c r="W4" s="12">
        <f>G4/C4</f>
        <v>0.70326295130897476</v>
      </c>
    </row>
    <row r="20" spans="6:6" x14ac:dyDescent="0.2">
      <c r="F20" s="7"/>
    </row>
    <row r="42" spans="3:40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4" spans="3:40" x14ac:dyDescent="0.2">
      <c r="D44" s="4"/>
    </row>
    <row r="45" spans="3:40" x14ac:dyDescent="0.2">
      <c r="D45" s="4"/>
    </row>
    <row r="46" spans="3:40" x14ac:dyDescent="0.2">
      <c r="D46" s="4"/>
    </row>
    <row r="47" spans="3:40" x14ac:dyDescent="0.2">
      <c r="D47" s="4"/>
    </row>
    <row r="48" spans="3:40" x14ac:dyDescent="0.2">
      <c r="D48" s="4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</sheetData>
  <sortState ref="C44:D61">
    <sortCondition ref="C4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2024-12-04T12:21:30Z</dcterms:modified>
</cp:coreProperties>
</file>